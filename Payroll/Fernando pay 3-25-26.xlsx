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" windowWidth="23232" windowHeight="13152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Area" localSheetId="0">'Sheet1'!$A$1:$F$38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b val="1"/>
      <color theme="1"/>
      <sz val="14"/>
      <u val="single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4"/>
      <scheme val="minor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2" fontId="0" fillId="0" borderId="0" pivotButton="0" quotePrefix="0" xfId="0"/>
    <xf numFmtId="0" fontId="2" fillId="0" borderId="0" pivotButton="0" quotePrefix="0" xfId="0"/>
    <xf numFmtId="2" fontId="2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center" wrapText="1"/>
    </xf>
    <xf numFmtId="2" fontId="2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2" fontId="0" fillId="0" borderId="1" pivotButton="0" quotePrefix="0" xfId="0"/>
    <xf numFmtId="2" fontId="1" fillId="0" borderId="1" pivotButton="0" quotePrefix="0" xfId="0"/>
    <xf numFmtId="0" fontId="0" fillId="0" borderId="2" applyAlignment="1" pivotButton="0" quotePrefix="0" xfId="0">
      <alignment horizontal="center"/>
    </xf>
    <xf numFmtId="0" fontId="0" fillId="0" borderId="2" pivotButton="0" quotePrefix="0" xfId="0"/>
    <xf numFmtId="2" fontId="0" fillId="0" borderId="2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Pete Duhamel Jr</author>
  </authors>
  <commentList>
    <comment ref="B2" authorId="0" shapeId="0">
      <text>
        <t xml:space="preserve">Pete Duhamel Jr:
Pay Period is Wednesday - Tuesday.  Bill Date is Wednesday of the current week for the previous pay period.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47"/>
  <sheetViews>
    <sheetView tabSelected="1" topLeftCell="A24" workbookViewId="0">
      <selection activeCell="D40" sqref="D40"/>
    </sheetView>
  </sheetViews>
  <sheetFormatPr baseColWidth="8" defaultRowHeight="14.4"/>
  <cols>
    <col width="22.5234375" customWidth="1" style="1" min="1" max="1"/>
    <col width="29.62890625" customWidth="1" min="2" max="2"/>
    <col width="28.578125" customWidth="1" min="3" max="3"/>
    <col width="12.26171875" customWidth="1" style="2" min="4" max="4"/>
    <col width="10.26171875" customWidth="1" style="2" min="5" max="5"/>
    <col width="10" customWidth="1" style="2" min="6" max="6"/>
  </cols>
  <sheetData>
    <row r="1" ht="18.3" customHeight="1">
      <c r="A1" s="7" t="inlineStr">
        <is>
          <t>Name:</t>
        </is>
      </c>
      <c r="B1" s="8" t="inlineStr">
        <is>
          <t>Fernando Marin</t>
        </is>
      </c>
    </row>
    <row r="2" ht="18.3" customHeight="1">
      <c r="A2" s="7" t="inlineStr">
        <is>
          <t>Bill Date:</t>
        </is>
      </c>
      <c r="B2" s="17" t="inlineStr">
        <is>
          <t>3/13/2026 - 3/25/2026</t>
        </is>
      </c>
    </row>
    <row r="4" ht="54.9" customHeight="1">
      <c r="A4" s="5" t="inlineStr">
        <is>
          <t>File Number</t>
        </is>
      </c>
      <c r="B4" s="3" t="inlineStr">
        <is>
          <t>Ins.Co</t>
        </is>
      </c>
      <c r="C4" s="3" t="inlineStr">
        <is>
          <t>Owner Name</t>
        </is>
      </c>
      <c r="D4" s="4" t="inlineStr">
        <is>
          <t>Appraisal/Supp Amount</t>
        </is>
      </c>
      <c r="E4" s="4" t="inlineStr">
        <is>
          <t>TL Amount</t>
        </is>
      </c>
      <c r="F4" s="6" t="inlineStr">
        <is>
          <t>Total</t>
        </is>
      </c>
    </row>
    <row r="5">
      <c r="A5" s="10" t="inlineStr">
        <is>
          <t>26498656</t>
        </is>
      </c>
      <c r="B5" s="11" t="inlineStr">
        <is>
          <t>SELECTIVE INSURANCE COMPANY</t>
        </is>
      </c>
      <c r="C5" t="inlineStr">
        <is>
          <t>Robidoux Landscaping Inc</t>
        </is>
      </c>
      <c r="D5" s="12" t="n">
        <v>57</v>
      </c>
      <c r="E5" s="12" t="n"/>
      <c r="F5" s="12">
        <f>D5+E5</f>
        <v/>
      </c>
    </row>
    <row r="6">
      <c r="A6" s="10" t="inlineStr">
        <is>
          <t>26498669</t>
        </is>
      </c>
      <c r="B6" s="11" t="inlineStr">
        <is>
          <t>PURE</t>
        </is>
      </c>
      <c r="C6" t="inlineStr">
        <is>
          <t>Andrew Purcell</t>
        </is>
      </c>
      <c r="D6" s="12" t="n">
        <v>57</v>
      </c>
      <c r="E6" s="12" t="n"/>
      <c r="F6" s="12">
        <f>D6+E6</f>
        <v/>
      </c>
    </row>
    <row r="7">
      <c r="A7" s="10" t="inlineStr">
        <is>
          <t>26498456</t>
        </is>
      </c>
      <c r="B7" s="11" t="inlineStr">
        <is>
          <t>ARBELLA INSURANCE</t>
        </is>
      </c>
      <c r="C7" t="inlineStr">
        <is>
          <t>Johnson Plumbing Johnson Plumbing</t>
        </is>
      </c>
      <c r="D7" s="12" t="n">
        <v>25</v>
      </c>
      <c r="E7" s="12" t="n"/>
      <c r="F7" s="12">
        <f>D7+E7</f>
        <v/>
      </c>
    </row>
    <row r="8">
      <c r="A8" s="10" t="inlineStr">
        <is>
          <t>26498639</t>
        </is>
      </c>
      <c r="B8" s="11" t="inlineStr">
        <is>
          <t>AMICA MUTUAL INSURANCE COMPANY</t>
        </is>
      </c>
      <c r="C8" t="inlineStr">
        <is>
          <t>Joseph Harrick</t>
        </is>
      </c>
      <c r="D8" s="12" t="n">
        <v>57</v>
      </c>
      <c r="E8" s="12" t="n"/>
      <c r="F8" s="12">
        <f>D8+E8</f>
        <v/>
      </c>
    </row>
    <row r="9">
      <c r="A9" s="10" t="inlineStr">
        <is>
          <t>26498770</t>
        </is>
      </c>
      <c r="B9" s="11" t="inlineStr">
        <is>
          <t>QUINCY MUTUAL GROUP</t>
        </is>
      </c>
      <c r="C9" t="inlineStr">
        <is>
          <t>Michael Lafeve</t>
        </is>
      </c>
      <c r="D9" s="12" t="n">
        <v>57</v>
      </c>
      <c r="E9" s="12" t="n"/>
      <c r="F9" s="12">
        <f>D9+E9</f>
        <v/>
      </c>
    </row>
    <row r="10">
      <c r="A10" s="10" t="inlineStr">
        <is>
          <t>26498789</t>
        </is>
      </c>
      <c r="B10" s="11" t="inlineStr">
        <is>
          <t>UTICA NATIONAL INSURANCE GROUP</t>
        </is>
      </c>
      <c r="C10" t="inlineStr">
        <is>
          <t>David Thelus</t>
        </is>
      </c>
      <c r="D10" s="12" t="n">
        <v>57</v>
      </c>
      <c r="E10" s="12" t="n"/>
      <c r="F10" s="12">
        <f>D10+E10</f>
        <v/>
      </c>
    </row>
    <row r="11">
      <c r="A11" s="10" t="inlineStr">
        <is>
          <t>26498791</t>
        </is>
      </c>
      <c r="B11" s="11" t="inlineStr">
        <is>
          <t>NJM INSURANCE GROUP</t>
        </is>
      </c>
      <c r="C11" t="inlineStr">
        <is>
          <t>Marianna Guarna</t>
        </is>
      </c>
      <c r="D11" s="12" t="n">
        <v>57</v>
      </c>
      <c r="E11" s="12" t="n"/>
      <c r="F11" s="12">
        <f>D11+E11</f>
        <v/>
      </c>
    </row>
    <row r="12">
      <c r="A12" s="10" t="inlineStr">
        <is>
          <t>26498209</t>
        </is>
      </c>
      <c r="B12" s="11" t="inlineStr">
        <is>
          <t>CRAWFORD AND COMPANY</t>
        </is>
      </c>
      <c r="C12" t="inlineStr">
        <is>
          <t>Marjorie Toce</t>
        </is>
      </c>
      <c r="D12" s="12" t="n">
        <v>25</v>
      </c>
      <c r="E12" s="12" t="n"/>
      <c r="F12" s="12">
        <f>D12+E12</f>
        <v/>
      </c>
    </row>
    <row r="13">
      <c r="A13" s="10" t="inlineStr">
        <is>
          <t>26498745</t>
        </is>
      </c>
      <c r="B13" s="11" t="inlineStr">
        <is>
          <t>Philadelphia Insurance</t>
        </is>
      </c>
      <c r="C13" t="inlineStr">
        <is>
          <t>Nicole Chaudhri</t>
        </is>
      </c>
      <c r="D13" s="12" t="n">
        <v>57</v>
      </c>
      <c r="E13" s="12" t="n"/>
      <c r="F13" s="12">
        <f>D13+E13</f>
        <v/>
      </c>
    </row>
    <row r="14">
      <c r="A14" s="10" t="inlineStr">
        <is>
          <t>26498815</t>
        </is>
      </c>
      <c r="B14" s="11" t="inlineStr">
        <is>
          <t>PLYMOUTH ROCK ASSURANCE CO.</t>
        </is>
      </c>
      <c r="C14" t="inlineStr">
        <is>
          <t>Eduardo Raymundo</t>
        </is>
      </c>
      <c r="D14" s="12" t="n">
        <v>57</v>
      </c>
      <c r="E14" s="12" t="n">
        <v>5</v>
      </c>
      <c r="F14" s="12">
        <f>D14+E14</f>
        <v/>
      </c>
    </row>
    <row r="15">
      <c r="A15" s="10" t="inlineStr">
        <is>
          <t>26498799</t>
        </is>
      </c>
      <c r="B15" s="11" t="inlineStr">
        <is>
          <t>ACADIA INSURANCE</t>
        </is>
      </c>
      <c r="C15" t="inlineStr">
        <is>
          <t>Nicholas Echevarria</t>
        </is>
      </c>
      <c r="D15" s="12" t="n">
        <v>57</v>
      </c>
      <c r="E15" s="12" t="n"/>
      <c r="F15" s="12">
        <f>D15+E15</f>
        <v/>
      </c>
    </row>
    <row r="16">
      <c r="A16" s="10" t="inlineStr">
        <is>
          <t>26498807</t>
        </is>
      </c>
      <c r="B16" s="11" t="inlineStr">
        <is>
          <t>BERKLEY ONE</t>
        </is>
      </c>
      <c r="C16" t="inlineStr">
        <is>
          <t>Edward Webster</t>
        </is>
      </c>
      <c r="D16" s="12" t="n">
        <v>57</v>
      </c>
      <c r="E16" s="12" t="n"/>
      <c r="F16" s="12">
        <f>D16+E16</f>
        <v/>
      </c>
    </row>
    <row r="17">
      <c r="A17" s="10" t="inlineStr">
        <is>
          <t>26498802</t>
        </is>
      </c>
      <c r="B17" s="11" t="inlineStr">
        <is>
          <t>AMICA MUTUAL INSURANCE COMPANY</t>
        </is>
      </c>
      <c r="C17" t="inlineStr">
        <is>
          <t>Adam Karwoski</t>
        </is>
      </c>
      <c r="D17" s="12" t="n">
        <v>57</v>
      </c>
      <c r="E17" s="12" t="n">
        <v>5</v>
      </c>
      <c r="F17" s="12">
        <f>D17+E17</f>
        <v/>
      </c>
    </row>
    <row r="18">
      <c r="A18" s="10" t="inlineStr">
        <is>
          <t>26498804</t>
        </is>
      </c>
      <c r="B18" s="11" t="inlineStr">
        <is>
          <t>QUINCY MUTUAL GROUP</t>
        </is>
      </c>
      <c r="C18" t="inlineStr">
        <is>
          <t>David Smith</t>
        </is>
      </c>
      <c r="D18" s="12" t="n">
        <v>57</v>
      </c>
      <c r="E18" s="12" t="n"/>
      <c r="F18" s="12">
        <f>D18+E18</f>
        <v/>
      </c>
    </row>
    <row r="19">
      <c r="A19" s="10" t="inlineStr">
        <is>
          <t>26498821</t>
        </is>
      </c>
      <c r="B19" s="11" t="inlineStr">
        <is>
          <t>AIG PROPERTY CASUALTY COMPANY</t>
        </is>
      </c>
      <c r="C19" t="inlineStr">
        <is>
          <t>Melanie L. Kelly</t>
        </is>
      </c>
      <c r="D19" s="12" t="n">
        <v>57</v>
      </c>
      <c r="E19" s="12" t="n"/>
      <c r="F19" s="12">
        <f>D19+E19</f>
        <v/>
      </c>
    </row>
    <row r="20">
      <c r="A20" s="10" t="inlineStr">
        <is>
          <t>26498822</t>
        </is>
      </c>
      <c r="B20" s="11" t="inlineStr">
        <is>
          <t>FOREMOST INS. CO. GRAND RAPIDS, MI.</t>
        </is>
      </c>
      <c r="C20" t="inlineStr">
        <is>
          <t>Ingrid Abella</t>
        </is>
      </c>
      <c r="D20" s="12" t="n">
        <v>57</v>
      </c>
      <c r="E20" s="12" t="n">
        <v>5</v>
      </c>
      <c r="F20" s="12">
        <f>D20+E20</f>
        <v/>
      </c>
    </row>
    <row r="21">
      <c r="A21" s="10" t="inlineStr">
        <is>
          <t>26498839</t>
        </is>
      </c>
      <c r="B21" s="11" t="inlineStr">
        <is>
          <t>ROOT INSURANCE COMPANY</t>
        </is>
      </c>
      <c r="C21" t="inlineStr">
        <is>
          <t>Johana Ortega-Pinzon</t>
        </is>
      </c>
      <c r="D21" s="12" t="n">
        <v>57</v>
      </c>
      <c r="E21" s="12" t="n"/>
      <c r="F21" s="12">
        <f>D21+E21</f>
        <v/>
      </c>
    </row>
    <row r="22">
      <c r="A22" s="10" t="inlineStr">
        <is>
          <t>26498846</t>
        </is>
      </c>
      <c r="B22" s="11" t="inlineStr">
        <is>
          <t>UTICA NATIONAL INSURANCE GROUP</t>
        </is>
      </c>
      <c r="C22" t="inlineStr">
        <is>
          <t>Donna Murphy</t>
        </is>
      </c>
      <c r="D22" s="12" t="n">
        <v>57</v>
      </c>
      <c r="E22" s="12" t="n"/>
      <c r="F22" s="12">
        <f>D22+E22</f>
        <v/>
      </c>
    </row>
    <row r="23">
      <c r="A23" s="10" t="inlineStr">
        <is>
          <t>26498847</t>
        </is>
      </c>
      <c r="B23" s="11" t="inlineStr">
        <is>
          <t>NJM INSURANCE GROUP</t>
        </is>
      </c>
      <c r="C23" t="inlineStr">
        <is>
          <t>Dhruvesh Patel</t>
        </is>
      </c>
      <c r="D23" s="12" t="n">
        <v>57</v>
      </c>
      <c r="E23" s="12" t="n"/>
      <c r="F23" s="12">
        <f>D23+E23</f>
        <v/>
      </c>
    </row>
    <row r="24">
      <c r="A24" s="10" t="inlineStr">
        <is>
          <t>26498702</t>
        </is>
      </c>
      <c r="B24" s="11" t="inlineStr">
        <is>
          <t>NJM INSURANCE GROUP</t>
        </is>
      </c>
      <c r="C24" t="inlineStr">
        <is>
          <t>Nissan Infiniti Lt Llc</t>
        </is>
      </c>
      <c r="D24" s="12" t="n">
        <v>25</v>
      </c>
      <c r="E24" s="12" t="n"/>
      <c r="F24" s="12">
        <f>D24+E24</f>
        <v/>
      </c>
    </row>
    <row r="25">
      <c r="A25" s="10" t="inlineStr">
        <is>
          <t>26498803</t>
        </is>
      </c>
      <c r="B25" s="11" t="inlineStr">
        <is>
          <t>NJM INSURANCE GROUP</t>
        </is>
      </c>
      <c r="C25" t="inlineStr">
        <is>
          <t>Joseph Stefanowicz</t>
        </is>
      </c>
      <c r="D25" s="12" t="n">
        <v>57</v>
      </c>
      <c r="E25" s="12" t="n"/>
      <c r="F25" s="12">
        <f>D25+E25</f>
        <v/>
      </c>
    </row>
    <row r="26">
      <c r="A26" s="10" t="inlineStr">
        <is>
          <t>26498902</t>
        </is>
      </c>
      <c r="B26" s="11" t="inlineStr">
        <is>
          <t>CLAIMSOLUTION INC.</t>
        </is>
      </c>
      <c r="C26" t="inlineStr">
        <is>
          <t>Mehdi Hajdari</t>
        </is>
      </c>
      <c r="D26" s="12" t="n">
        <v>57</v>
      </c>
      <c r="E26" s="12" t="n"/>
      <c r="F26" s="12">
        <f>D26+E26</f>
        <v/>
      </c>
    </row>
    <row r="27">
      <c r="A27" s="10" t="inlineStr">
        <is>
          <t>26498849</t>
        </is>
      </c>
      <c r="B27" s="11" t="inlineStr">
        <is>
          <t>PLYMOUTH ROCK ASSURANCE CO.</t>
        </is>
      </c>
      <c r="C27" t="inlineStr">
        <is>
          <t>Silotte Ulysse</t>
        </is>
      </c>
      <c r="D27" s="12" t="n">
        <v>57</v>
      </c>
      <c r="E27" s="12" t="n"/>
      <c r="F27" s="12">
        <f>D27+E27</f>
        <v/>
      </c>
    </row>
    <row r="28">
      <c r="A28" s="10" t="inlineStr">
        <is>
          <t>26498954</t>
        </is>
      </c>
      <c r="B28" s="11" t="inlineStr">
        <is>
          <t>AMICA MUTUAL INSURANCE COMPANY</t>
        </is>
      </c>
      <c r="C28" t="inlineStr">
        <is>
          <t>Arthur Kowalewski</t>
        </is>
      </c>
      <c r="D28" s="12" t="n">
        <v>57</v>
      </c>
      <c r="E28" s="12" t="n">
        <v>5</v>
      </c>
      <c r="F28" s="12">
        <f>D28+E28</f>
        <v/>
      </c>
    </row>
    <row r="29">
      <c r="A29" s="10" t="inlineStr">
        <is>
          <t>26498779</t>
        </is>
      </c>
      <c r="B29" s="11" t="inlineStr">
        <is>
          <t>PLYMOUTH ROCK ASSURANCE CO.</t>
        </is>
      </c>
      <c r="C29" t="inlineStr">
        <is>
          <t>Elliott &amp; Shona Goldenberg</t>
        </is>
      </c>
      <c r="D29" s="12" t="n">
        <v>57</v>
      </c>
      <c r="E29" s="12" t="n"/>
      <c r="F29" s="12">
        <f>D29+E29</f>
        <v/>
      </c>
    </row>
    <row r="30">
      <c r="A30" s="10" t="inlineStr">
        <is>
          <t>26498861</t>
        </is>
      </c>
      <c r="B30" s="11" t="inlineStr">
        <is>
          <t>CT INTERLOCAL RISK MANAGEMENT</t>
        </is>
      </c>
      <c r="C30" t="inlineStr">
        <is>
          <t>Town Of New Canaan Town Of New Canaan</t>
        </is>
      </c>
      <c r="D30" s="12" t="n">
        <v>57</v>
      </c>
      <c r="E30" s="12" t="n"/>
      <c r="F30" s="12">
        <f>D30+E30</f>
        <v/>
      </c>
    </row>
    <row r="31">
      <c r="A31" s="10" t="inlineStr">
        <is>
          <t>26498986</t>
        </is>
      </c>
      <c r="B31" s="11" t="inlineStr">
        <is>
          <t>FEDERATED MUTUAL INSURANCE COMPANY</t>
        </is>
      </c>
      <c r="C31" t="inlineStr">
        <is>
          <t>Katherine Muralles</t>
        </is>
      </c>
      <c r="D31" s="12" t="n">
        <v>57</v>
      </c>
      <c r="E31" s="12" t="n"/>
      <c r="F31" s="12">
        <f>D31+E31</f>
        <v/>
      </c>
    </row>
    <row r="32">
      <c r="A32" s="10" t="inlineStr">
        <is>
          <t>26498992</t>
        </is>
      </c>
      <c r="B32" s="11" t="inlineStr">
        <is>
          <t>FOREMOST INS. CO. GRAND RAPIDS, MI.</t>
        </is>
      </c>
      <c r="C32" t="inlineStr">
        <is>
          <t>Alexis Munoz</t>
        </is>
      </c>
      <c r="D32" s="12" t="n">
        <v>57</v>
      </c>
      <c r="E32" s="12" t="n"/>
      <c r="F32" s="12">
        <f>D32+E32</f>
        <v/>
      </c>
    </row>
    <row r="33">
      <c r="A33" s="10" t="inlineStr">
        <is>
          <t>26498770</t>
        </is>
      </c>
      <c r="B33" s="11" t="inlineStr">
        <is>
          <t>QUINCY MUTUAL GROUP</t>
        </is>
      </c>
      <c r="C33" t="inlineStr">
        <is>
          <t>Michael Lafeve</t>
        </is>
      </c>
      <c r="D33" s="12" t="n">
        <v>25</v>
      </c>
      <c r="E33" s="12" t="n"/>
      <c r="F33" s="12">
        <f>D33+E33</f>
        <v/>
      </c>
    </row>
    <row r="34">
      <c r="A34" s="10" t="inlineStr">
        <is>
          <t>26498933</t>
        </is>
      </c>
      <c r="B34" s="11" t="inlineStr">
        <is>
          <t>USAA CASUALTY INSURANCE COMPANY</t>
        </is>
      </c>
      <c r="C34" t="inlineStr">
        <is>
          <t>Ernest Whittle</t>
        </is>
      </c>
      <c r="D34" s="12" t="n">
        <v>57</v>
      </c>
      <c r="E34" s="12" t="n"/>
      <c r="F34" s="12">
        <f>D34+E34</f>
        <v/>
      </c>
    </row>
    <row r="35">
      <c r="A35" s="10" t="inlineStr">
        <is>
          <t>26499019</t>
        </is>
      </c>
      <c r="B35" s="11" t="inlineStr">
        <is>
          <t>AMICA MUTUAL INSURANCE COMPANY</t>
        </is>
      </c>
      <c r="C35" t="inlineStr">
        <is>
          <t>Haik Kavookjian</t>
        </is>
      </c>
      <c r="D35" s="12" t="n">
        <v>57</v>
      </c>
      <c r="E35" s="12" t="n">
        <v>5</v>
      </c>
      <c r="F35" s="12">
        <f>D35+E35</f>
        <v/>
      </c>
    </row>
    <row r="36">
      <c r="A36" s="10" t="inlineStr">
        <is>
          <t>26499029</t>
        </is>
      </c>
      <c r="B36" s="11" t="inlineStr">
        <is>
          <t>AIG PROPERTY CASUALTY COMPANY</t>
        </is>
      </c>
      <c r="C36" t="inlineStr">
        <is>
          <t>Wynne Juricek</t>
        </is>
      </c>
      <c r="D36" s="12" t="n">
        <v>57</v>
      </c>
      <c r="E36" s="12" t="n"/>
      <c r="F36" s="12">
        <f>D36+E36</f>
        <v/>
      </c>
    </row>
    <row r="37">
      <c r="A37" s="10" t="inlineStr">
        <is>
          <t>26499035</t>
        </is>
      </c>
      <c r="B37" s="11" t="inlineStr">
        <is>
          <t>PLYMOUTH ROCK ASSURANCE CO.</t>
        </is>
      </c>
      <c r="C37" t="inlineStr">
        <is>
          <t>Anthony Ward</t>
        </is>
      </c>
      <c r="D37" s="12" t="n">
        <v>57</v>
      </c>
      <c r="E37" s="12" t="n"/>
      <c r="F37" s="12">
        <f>D37+E37</f>
        <v/>
      </c>
    </row>
    <row r="38">
      <c r="B38" s="11" t="n"/>
      <c r="D38" s="12" t="n"/>
      <c r="E38" s="12" t="n"/>
      <c r="F38" s="12">
        <f>SUM(F5:F37)</f>
        <v/>
      </c>
    </row>
    <row r="39">
      <c r="B39" s="11" t="n"/>
      <c r="D39" s="12" t="n"/>
      <c r="E39" s="12" t="n"/>
      <c r="F39" s="12" t="n"/>
    </row>
    <row r="40">
      <c r="B40" s="11" t="n"/>
      <c r="D40" s="12" t="n"/>
      <c r="E40" s="12" t="n"/>
      <c r="F40" s="12" t="n"/>
    </row>
    <row r="41">
      <c r="A41" s="10" t="n"/>
      <c r="B41" s="11" t="n"/>
      <c r="C41" s="11" t="n"/>
      <c r="D41" s="12" t="n"/>
      <c r="E41" s="12" t="n"/>
      <c r="F41" s="12" t="n"/>
    </row>
    <row r="42">
      <c r="A42" s="10" t="n"/>
      <c r="B42" s="11" t="n"/>
      <c r="C42" s="11" t="n"/>
      <c r="D42" s="12" t="n"/>
      <c r="E42" s="12" t="n"/>
      <c r="F42" s="12" t="n"/>
    </row>
    <row r="43">
      <c r="A43" s="10" t="n"/>
      <c r="B43" s="11" t="n"/>
      <c r="C43" s="11" t="n"/>
      <c r="D43" s="12" t="n"/>
      <c r="E43" s="12" t="n"/>
      <c r="F43" s="12" t="n"/>
    </row>
    <row r="44">
      <c r="A44" s="10" t="n"/>
      <c r="B44" s="11" t="n"/>
      <c r="C44" s="11" t="n"/>
      <c r="D44" s="12" t="n"/>
      <c r="E44" s="12" t="n"/>
      <c r="F44" s="12" t="n"/>
    </row>
    <row r="45">
      <c r="A45" s="10" t="n"/>
      <c r="B45" s="11" t="n"/>
      <c r="C45" s="11" t="n"/>
      <c r="D45" s="12" t="n"/>
      <c r="E45" s="12" t="n"/>
      <c r="F45" s="12" t="n"/>
    </row>
    <row r="46">
      <c r="A46" s="10" t="n"/>
      <c r="B46" s="11" t="n"/>
      <c r="C46" s="11" t="n"/>
      <c r="D46" s="12" t="n"/>
      <c r="E46" s="12" t="n"/>
      <c r="F46" s="13" t="n"/>
    </row>
    <row r="47">
      <c r="A47" s="14" t="n"/>
      <c r="B47" s="15" t="n"/>
      <c r="C47" s="15" t="n"/>
      <c r="D47" s="16" t="n"/>
      <c r="E47" s="16" t="n"/>
      <c r="F47" s="16">
        <f>SUM(F5:F46)</f>
        <v/>
      </c>
    </row>
  </sheetData>
  <pageMargins left="0.25" right="0.25" top="0.35" bottom="0.35" header="0.1" footer="0.1"/>
  <pageSetup orientation="landscape" fitToHeight="1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Pete Duhamel Jr</dc:creator>
  <dcterms:created xmlns:dcterms="http://purl.org/dc/terms/" xmlns:xsi="http://www.w3.org/2001/XMLSchema-instance" xsi:type="dcterms:W3CDTF">2022-07-07T18:34:52Z</dcterms:created>
  <dcterms:modified xmlns:dcterms="http://purl.org/dc/terms/" xmlns:xsi="http://www.w3.org/2001/XMLSchema-instance" xsi:type="dcterms:W3CDTF">2026-03-26T12:26:16Z</dcterms:modified>
  <cp:lastModifiedBy>Fernando Marin</cp:lastModifiedBy>
  <cp:lastPrinted>2026-03-12T13:23:16Z</cp:lastPrinted>
</cp:coreProperties>
</file>